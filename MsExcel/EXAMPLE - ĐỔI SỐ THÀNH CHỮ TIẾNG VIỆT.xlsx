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codeName="ThisWorkbook"/>
  <xr:revisionPtr revIDLastSave="0" documentId="13_ncr:1_{22A75061-B5AE-417D-B12F-C8A328A8E9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ISOTHANHCH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B8" i="1" s="1"/>
  <c r="C9" i="1" l="1"/>
  <c r="L9" i="1"/>
  <c r="H9" i="1"/>
  <c r="K9" i="1"/>
  <c r="N9" i="1"/>
  <c r="J9" i="1"/>
  <c r="E9" i="1"/>
  <c r="G9" i="1"/>
  <c r="M9" i="1"/>
  <c r="I9" i="1"/>
  <c r="F9" i="1"/>
  <c r="D9" i="1"/>
  <c r="N11" i="1" l="1"/>
  <c r="H11" i="1"/>
  <c r="G12" i="1"/>
  <c r="G11" i="1"/>
  <c r="K11" i="1"/>
  <c r="F12" i="1"/>
  <c r="H10" i="1"/>
  <c r="H12" i="1" s="1"/>
  <c r="G10" i="1"/>
  <c r="F11" i="1"/>
  <c r="F10" i="1"/>
  <c r="E11" i="1"/>
  <c r="I11" i="1"/>
  <c r="J10" i="1"/>
  <c r="I10" i="1"/>
  <c r="K10" i="1"/>
  <c r="K12" i="1" s="1"/>
  <c r="I12" i="1"/>
  <c r="J11" i="1"/>
  <c r="J12" i="1"/>
  <c r="L11" i="1"/>
  <c r="L12" i="1"/>
  <c r="L10" i="1"/>
  <c r="N10" i="1"/>
  <c r="M10" i="1"/>
  <c r="D12" i="1"/>
  <c r="D11" i="1"/>
  <c r="M11" i="1"/>
  <c r="M12" i="1"/>
  <c r="C10" i="1"/>
  <c r="D10" i="1"/>
  <c r="E10" i="1"/>
  <c r="E12" i="1" s="1"/>
  <c r="C12" i="1"/>
  <c r="C11" i="1"/>
  <c r="B13" i="1" l="1"/>
  <c r="B3" i="1" s="1"/>
  <c r="B2" i="1" l="1"/>
</calcChain>
</file>

<file path=xl/sharedStrings.xml><?xml version="1.0" encoding="utf-8"?>
<sst xmlns="http://schemas.openxmlformats.org/spreadsheetml/2006/main" count="4" uniqueCount="4">
  <si>
    <t>BẢNG DƯỚI ĐÂY CÓ THỂ COPY SANG SHEET MỚI ĐỂ ẨN:</t>
  </si>
  <si>
    <t>SỐ CẦN ĐỔI LÀ:</t>
  </si>
  <si>
    <t>BẰNG CHỮ:</t>
  </si>
  <si>
    <t>ĐỌC THÀNH TIỀN: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</si>
</sst>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sz val="10"/>
      <name val="VNI-Times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.Vn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rgb="FF1C1E21"/>
      <name val="Times New Roman"/>
      <family val="1"/>
    </font>
    <font>
      <sz val="12"/>
      <color indexed="8"/>
      <name val="Cambria"/>
      <family val="1"/>
    </font>
    <font>
      <b/>
      <sz val="12"/>
      <color indexed="8"/>
      <name val="Cambria"/>
      <family val="1"/>
    </font>
    <font>
      <b/>
      <i/>
      <sz val="12"/>
      <color rgb="FFFF0000"/>
      <name val="Cambria"/>
      <family val="1"/>
    </font>
    <font>
      <b/>
      <i/>
      <sz val="12"/>
      <color theme="8"/>
      <name val="Cambria"/>
      <family val="1"/>
    </font>
    <font>
      <sz val="12"/>
      <name val="Cambria"/>
      <family val="1"/>
    </font>
    <font>
      <b/>
      <sz val="12"/>
      <color indexed="12"/>
      <name val="Cambria"/>
      <family val="1"/>
    </font>
    <font>
      <b/>
      <sz val="12"/>
      <name val="Cambria"/>
      <family val="1"/>
    </font>
    <font>
      <sz val="12"/>
      <color indexed="12"/>
      <name val="Cambria"/>
      <family val="1"/>
    </font>
    <font>
      <b/>
      <sz val="12"/>
      <color rgb="FFFF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6" fillId="0" borderId="0"/>
    <xf numFmtId="0" fontId="5" fillId="0" borderId="0"/>
    <xf numFmtId="0" fontId="2" fillId="0" borderId="0"/>
    <xf numFmtId="43" fontId="7" fillId="0" borderId="0" applyFont="0" applyFill="0" applyBorder="0" applyAlignment="0" applyProtection="0"/>
  </cellStyleXfs>
  <cellXfs count="35">
    <xf numFmtId="0" fontId="0" fillId="0" borderId="0" xfId="0"/>
    <xf numFmtId="0" fontId="9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NumberFormat="1" applyFont="1" applyBorder="1" applyAlignment="1">
      <alignment vertical="center"/>
    </xf>
    <xf numFmtId="164" fontId="1" fillId="0" borderId="0" xfId="1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9" fillId="0" borderId="0" xfId="1" applyNumberFormat="1" applyFont="1" applyBorder="1" applyAlignment="1">
      <alignment vertical="center"/>
    </xf>
    <xf numFmtId="164" fontId="9" fillId="0" borderId="0" xfId="1" applyNumberFormat="1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0" fontId="13" fillId="0" borderId="0" xfId="5" applyFont="1" applyAlignment="1" applyProtection="1">
      <alignment vertical="center"/>
      <protection hidden="1"/>
    </xf>
    <xf numFmtId="0" fontId="15" fillId="5" borderId="1" xfId="5" applyFont="1" applyFill="1" applyBorder="1" applyAlignment="1" applyProtection="1">
      <alignment horizontal="center" vertical="center"/>
      <protection hidden="1"/>
    </xf>
    <xf numFmtId="0" fontId="15" fillId="2" borderId="1" xfId="5" applyFont="1" applyFill="1" applyBorder="1" applyAlignment="1" applyProtection="1">
      <alignment horizontal="center" vertical="center"/>
      <protection hidden="1"/>
    </xf>
    <xf numFmtId="0" fontId="15" fillId="4" borderId="1" xfId="5" applyFont="1" applyFill="1" applyBorder="1" applyAlignment="1" applyProtection="1">
      <alignment horizontal="center" vertical="center"/>
      <protection hidden="1"/>
    </xf>
    <xf numFmtId="0" fontId="15" fillId="3" borderId="1" xfId="5" applyFont="1" applyFill="1" applyBorder="1" applyAlignment="1" applyProtection="1">
      <alignment horizontal="center" vertical="center"/>
      <protection hidden="1"/>
    </xf>
    <xf numFmtId="0" fontId="16" fillId="5" borderId="1" xfId="5" applyFont="1" applyFill="1" applyBorder="1" applyAlignment="1" applyProtection="1">
      <alignment horizontal="center" vertical="center"/>
      <protection hidden="1"/>
    </xf>
    <xf numFmtId="0" fontId="16" fillId="2" borderId="1" xfId="5" applyFont="1" applyFill="1" applyBorder="1" applyAlignment="1" applyProtection="1">
      <alignment horizontal="center" vertical="center"/>
      <protection hidden="1"/>
    </xf>
    <xf numFmtId="0" fontId="16" fillId="4" borderId="1" xfId="5" applyFont="1" applyFill="1" applyBorder="1" applyAlignment="1" applyProtection="1">
      <alignment horizontal="center" vertical="center"/>
      <protection hidden="1"/>
    </xf>
    <xf numFmtId="0" fontId="16" fillId="3" borderId="1" xfId="5" applyFont="1" applyFill="1" applyBorder="1" applyAlignment="1" applyProtection="1">
      <alignment horizontal="center" vertical="center"/>
      <protection hidden="1"/>
    </xf>
    <xf numFmtId="0" fontId="16" fillId="5" borderId="1" xfId="4" applyFont="1" applyFill="1" applyBorder="1" applyAlignment="1" applyProtection="1">
      <alignment horizontal="center" vertical="center"/>
      <protection hidden="1"/>
    </xf>
    <xf numFmtId="0" fontId="16" fillId="2" borderId="1" xfId="4" applyFont="1" applyFill="1" applyBorder="1" applyAlignment="1" applyProtection="1">
      <alignment horizontal="center" vertical="center"/>
      <protection hidden="1"/>
    </xf>
    <xf numFmtId="0" fontId="16" fillId="4" borderId="1" xfId="4" applyFont="1" applyFill="1" applyBorder="1" applyAlignment="1" applyProtection="1">
      <alignment horizontal="center" vertical="center"/>
      <protection hidden="1"/>
    </xf>
    <xf numFmtId="0" fontId="16" fillId="3" borderId="1" xfId="4" applyFont="1" applyFill="1" applyBorder="1" applyAlignment="1" applyProtection="1">
      <alignment horizontal="center" vertical="center"/>
      <protection hidden="1"/>
    </xf>
    <xf numFmtId="164" fontId="13" fillId="6" borderId="2" xfId="6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vertical="top"/>
    </xf>
    <xf numFmtId="0" fontId="15" fillId="0" borderId="1" xfId="0" applyFont="1" applyBorder="1" applyAlignment="1">
      <alignment vertical="center"/>
    </xf>
    <xf numFmtId="0" fontId="14" fillId="6" borderId="1" xfId="5" applyFont="1" applyFill="1" applyBorder="1" applyAlignment="1" applyProtection="1">
      <alignment horizontal="center" vertical="center"/>
      <protection hidden="1"/>
    </xf>
    <xf numFmtId="164" fontId="17" fillId="6" borderId="1" xfId="1" applyNumberFormat="1" applyFont="1" applyFill="1" applyBorder="1" applyAlignment="1">
      <alignment horizontal="center" vertical="center"/>
    </xf>
    <xf numFmtId="0" fontId="16" fillId="0" borderId="1" xfId="5" applyFont="1" applyBorder="1" applyAlignment="1" applyProtection="1">
      <alignment horizontal="center" vertical="center"/>
      <protection hidden="1"/>
    </xf>
    <xf numFmtId="0" fontId="13" fillId="6" borderId="1" xfId="5" applyFont="1" applyFill="1" applyBorder="1" applyAlignment="1" applyProtection="1">
      <alignment horizontal="center" vertical="center"/>
      <protection hidden="1"/>
    </xf>
  </cellXfs>
  <cellStyles count="7">
    <cellStyle name="Comma" xfId="6" builtinId="3"/>
    <cellStyle name="Comma 2 15" xfId="1" xr:uid="{00000000-0005-0000-0000-000000000000}"/>
    <cellStyle name="Normal" xfId="0" builtinId="0"/>
    <cellStyle name="Normal 2 3" xfId="2" xr:uid="{00000000-0005-0000-0000-000002000000}"/>
    <cellStyle name="Normal 21" xfId="3" xr:uid="{00000000-0005-0000-0000-000003000000}"/>
    <cellStyle name="Normal_Dichso 2" xfId="4" xr:uid="{00000000-0005-0000-0000-000004000000}"/>
    <cellStyle name="Normal_DocSoUnicode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5"/>
  <sheetViews>
    <sheetView tabSelected="1" zoomScaleSheetLayoutView="100" workbookViewId="0"/>
  </sheetViews>
  <sheetFormatPr defaultRowHeight="21.95" customHeight="1" x14ac:dyDescent="0.25"/>
  <cols>
    <col min="1" max="1" width="23.28515625" style="5" customWidth="1"/>
    <col min="2" max="2" width="22.85546875" style="5" customWidth="1"/>
    <col min="3" max="3" width="7.28515625" style="2" customWidth="1"/>
    <col min="4" max="4" width="7.28515625" style="3" customWidth="1"/>
    <col min="5" max="5" width="7.28515625" style="4" customWidth="1"/>
    <col min="6" max="6" width="7.28515625" style="3" customWidth="1"/>
    <col min="7" max="11" width="7.28515625" style="5" customWidth="1"/>
    <col min="12" max="12" width="13.5703125" style="5" customWidth="1"/>
    <col min="13" max="14" width="7.28515625" style="5" customWidth="1"/>
    <col min="15" max="16384" width="9.140625" style="5"/>
  </cols>
  <sheetData>
    <row r="1" spans="1:14" ht="21.95" customHeight="1" x14ac:dyDescent="0.25">
      <c r="A1" s="30" t="s">
        <v>1</v>
      </c>
      <c r="B1" s="32">
        <v>987654123456</v>
      </c>
    </row>
    <row r="2" spans="1:14" ht="21.95" customHeight="1" x14ac:dyDescent="0.25">
      <c r="A2" s="30" t="s">
        <v>2</v>
      </c>
      <c r="B2" s="6" t="str">
        <f>B13</f>
        <v>Chín trăm tám mươi bảy tỷ sáu trăm năm mươi bốn triệu một trăm hai mươi ba ngàn bốn trăm năm mươi sáu</v>
      </c>
    </row>
    <row r="3" spans="1:14" ht="21.95" customHeight="1" x14ac:dyDescent="0.25">
      <c r="A3" s="30" t="s">
        <v>3</v>
      </c>
      <c r="B3" s="7" t="str">
        <f>B13&amp;" đồng."</f>
        <v>Chín trăm tám mươi bảy tỷ sáu trăm năm mươi bốn triệu một trăm hai mươi ba ngàn bốn trăm năm mươi sáu đồng.</v>
      </c>
    </row>
    <row r="7" spans="1:14" ht="28.5" customHeight="1" x14ac:dyDescent="0.25">
      <c r="A7" s="29" t="s">
        <v>0</v>
      </c>
      <c r="B7" s="1"/>
      <c r="C7" s="9"/>
      <c r="D7" s="10"/>
      <c r="E7" s="11"/>
      <c r="F7" s="10"/>
      <c r="G7" s="1"/>
      <c r="H7" s="1"/>
      <c r="I7" s="1"/>
      <c r="J7" s="1"/>
      <c r="K7" s="1"/>
      <c r="L7" s="1"/>
      <c r="M7" s="1"/>
      <c r="N7" s="1"/>
    </row>
    <row r="8" spans="1:14" ht="21.95" customHeight="1" x14ac:dyDescent="0.25">
      <c r="A8" s="27">
        <f>B1</f>
        <v>987654123456</v>
      </c>
      <c r="B8" s="31" t="str">
        <f>RIGHT("000000000000"&amp;ROUND(A8,0),12)</f>
        <v>987654123456</v>
      </c>
      <c r="C8" s="15">
        <v>1</v>
      </c>
      <c r="D8" s="15">
        <v>2</v>
      </c>
      <c r="E8" s="15">
        <v>3</v>
      </c>
      <c r="F8" s="16">
        <v>4</v>
      </c>
      <c r="G8" s="16">
        <v>5</v>
      </c>
      <c r="H8" s="16">
        <v>6</v>
      </c>
      <c r="I8" s="17">
        <v>7</v>
      </c>
      <c r="J8" s="17">
        <v>8</v>
      </c>
      <c r="K8" s="17">
        <v>9</v>
      </c>
      <c r="L8" s="18">
        <v>10</v>
      </c>
      <c r="M8" s="18">
        <v>11</v>
      </c>
      <c r="N8" s="18">
        <v>12</v>
      </c>
    </row>
    <row r="9" spans="1:14" ht="21.95" customHeight="1" x14ac:dyDescent="0.25">
      <c r="A9" s="12"/>
      <c r="B9" s="34"/>
      <c r="C9" s="19">
        <f>VALUE(MID(B8,C8,1))</f>
        <v>9</v>
      </c>
      <c r="D9" s="19">
        <f>VALUE(MID(B8,D8,1))</f>
        <v>8</v>
      </c>
      <c r="E9" s="19">
        <f>VALUE(MID(B8,E8,1))</f>
        <v>7</v>
      </c>
      <c r="F9" s="20">
        <f>VALUE(MID(B8,F8,1))</f>
        <v>6</v>
      </c>
      <c r="G9" s="20">
        <f>VALUE(MID(B8,G8,1))</f>
        <v>5</v>
      </c>
      <c r="H9" s="20">
        <f>VALUE(MID(B8,H8,1))</f>
        <v>4</v>
      </c>
      <c r="I9" s="21">
        <f>VALUE(MID(B8,I8,1))</f>
        <v>1</v>
      </c>
      <c r="J9" s="21">
        <f>VALUE(MID(B8,J8,1))</f>
        <v>2</v>
      </c>
      <c r="K9" s="21">
        <f>VALUE(MID(B8,K8,1))</f>
        <v>3</v>
      </c>
      <c r="L9" s="22">
        <f>VALUE(MID(B8,L8,1))</f>
        <v>4</v>
      </c>
      <c r="M9" s="22">
        <f>VALUE(MID(B8,M8,1))</f>
        <v>5</v>
      </c>
      <c r="N9" s="22">
        <f>VALUE(MID(B8,N8,1))</f>
        <v>6</v>
      </c>
    </row>
    <row r="10" spans="1:14" ht="21.95" customHeight="1" x14ac:dyDescent="0.25">
      <c r="A10" s="12"/>
      <c r="B10" s="34"/>
      <c r="C10" s="19">
        <f>SUM(C9:C9)</f>
        <v>9</v>
      </c>
      <c r="D10" s="19">
        <f>SUM(C9:D9)</f>
        <v>17</v>
      </c>
      <c r="E10" s="19">
        <f>SUM(C9:E9)</f>
        <v>24</v>
      </c>
      <c r="F10" s="20">
        <f>SUM(F9:F9)</f>
        <v>6</v>
      </c>
      <c r="G10" s="20">
        <f>SUM(F9:G9)</f>
        <v>11</v>
      </c>
      <c r="H10" s="20">
        <f>SUM(F9:H9)</f>
        <v>15</v>
      </c>
      <c r="I10" s="21">
        <f>SUM(I9:I9)</f>
        <v>1</v>
      </c>
      <c r="J10" s="21">
        <f>SUM(I9:J9)</f>
        <v>3</v>
      </c>
      <c r="K10" s="21">
        <f>SUM(I9:K9)</f>
        <v>6</v>
      </c>
      <c r="L10" s="22">
        <f>SUM(L9:L9)</f>
        <v>4</v>
      </c>
      <c r="M10" s="22">
        <f>SUM(L9:M9)</f>
        <v>9</v>
      </c>
      <c r="N10" s="22">
        <f>SUM(L9:N9)</f>
        <v>15</v>
      </c>
    </row>
    <row r="11" spans="1:14" ht="21.95" customHeight="1" x14ac:dyDescent="0.25">
      <c r="A11" s="13"/>
      <c r="B11" s="34"/>
      <c r="C11" s="23" t="str">
        <f>IF(C9=0,"",CHOOSE(C9,"một","hai","ba","bốn","năm","sáu","bảy","tám","chín"))</f>
        <v>chín</v>
      </c>
      <c r="D11" s="23" t="str">
        <f>IF(D9=0,IF(AND(C9&lt;&gt;0,E9&lt;&gt;0),"lẻ",""),CHOOSE(D9,"mười","hai","ba","bốn","năm","sáu","bảy","tám","chín"))</f>
        <v>tám</v>
      </c>
      <c r="E11" s="23" t="str">
        <f>IF(E9=0,"",CHOOSE(E9,IF(D9&gt;1,"mốt","một"),"hai","ba","bốn",IF(D9=0,"năm","lăm"),"sáu","bảy","tám","chín"))</f>
        <v>bảy</v>
      </c>
      <c r="F11" s="24" t="str">
        <f>IF(F9=0,"",CHOOSE(F9,"một","hai","ba","bốn","năm","sáu","bảy","tám","chín"))</f>
        <v>sáu</v>
      </c>
      <c r="G11" s="24" t="str">
        <f>IF(G9=0,IF(AND(F9&lt;&gt;0,H9&lt;&gt;0),"lẻ",""),CHOOSE(G9,"mười","hai","ba","bốn","năm","sáu","bảy","tám","chín"))</f>
        <v>năm</v>
      </c>
      <c r="H11" s="24" t="str">
        <f>IF(H9=0,"",CHOOSE(H9,IF(G9&gt;1,"mốt","một"),"hai","ba","bốn",IF(G9=0,"năm","lăm"),"sáu","bảy","tám","chín"))</f>
        <v>bốn</v>
      </c>
      <c r="I11" s="25" t="str">
        <f>IF(I9=0,IF(AND(I9=0,J9=0),"",IF(AND(G9=0,H9=0,J9&lt;&gt;0),"","không trăm")),CHOOSE(I9,"một","hai","ba","bốn","năm","sáu","bảy","tám","chín"))</f>
        <v>một</v>
      </c>
      <c r="J11" s="25" t="str">
        <f>IF(J9=0,IF(AND(J9=0,K9=0),"",IF(AND(H9=0,I9=0,K9&lt;&gt;0),"","lẻ")),CHOOSE(J9,"mười","hai","ba","bốn","năm","sáu","bảy","tám","chín"))</f>
        <v>hai</v>
      </c>
      <c r="K11" s="25" t="str">
        <f>IF(K9=0,"",CHOOSE(K9,IF(J9&gt;1,"mốt","một"),"hai","ba","bốn",IF(J9=0,"năm","lăm"),"sáu","bảy","tám","chín"))</f>
        <v>ba</v>
      </c>
      <c r="L11" s="26" t="str">
        <f>IF(L9=0,IF(AND(L9=0,M9=0),"",IF(AND(J9=0,K9=0,M9&lt;&gt;0),"","không trăm")),CHOOSE(L9,"một","hai","ba","bốn","năm","sáu","bảy","tám","chín"))</f>
        <v>bốn</v>
      </c>
      <c r="M11" s="26" t="str">
        <f>IF(M9=0,IF(AND(M9=0,N9=0),"",IF(AND(K9=0,L9=0,N9&lt;&gt;0),"","lẻ")),CHOOSE(M9,"mười","hai","ba","bốn","năm","sáu","bảy","tám","chín"))</f>
        <v>năm</v>
      </c>
      <c r="N11" s="26" t="str">
        <f>IF(N9=0,"",CHOOSE(N9,IF(M9&gt;1,"mốt","một"),"hai","ba","bốn",IF(M9=0,"năm","lăm"),"sáu","bảy","tám","chín"))</f>
        <v>sáu</v>
      </c>
    </row>
    <row r="12" spans="1:14" ht="21.95" customHeight="1" x14ac:dyDescent="0.25">
      <c r="A12" s="12"/>
      <c r="B12" s="34"/>
      <c r="C12" s="19" t="str">
        <f>IF(C9=0,"","trăm")</f>
        <v>trăm</v>
      </c>
      <c r="D12" s="19" t="str">
        <f>IF(D9=0,"",IF(D9=1,"","mươi"))</f>
        <v>mươi</v>
      </c>
      <c r="E12" s="19" t="str">
        <f>IF(AND(E9=0,E10=0),"","tỷ")</f>
        <v>tỷ</v>
      </c>
      <c r="F12" s="20" t="str">
        <f>IF(F9=0,"","trăm")</f>
        <v>trăm</v>
      </c>
      <c r="G12" s="20" t="str">
        <f>IF(G9=0,"",IF(G9=1,"","mươi"))</f>
        <v>mươi</v>
      </c>
      <c r="H12" s="20" t="str">
        <f>IF(AND(H9=0,H10=0),"","triệu")</f>
        <v>triệu</v>
      </c>
      <c r="I12" s="21" t="str">
        <f>IF(I9=0,"","trăm")</f>
        <v>trăm</v>
      </c>
      <c r="J12" s="21" t="str">
        <f>IF(J9=0,"",IF(J9=1,"","mươi"))</f>
        <v>mươi</v>
      </c>
      <c r="K12" s="21" t="str">
        <f>IF(AND(K9=0,K10=0),"","ngàn")</f>
        <v>ngàn</v>
      </c>
      <c r="L12" s="22" t="str">
        <f>IF(L9=0,"","trăm")</f>
        <v>trăm</v>
      </c>
      <c r="M12" s="22" t="str">
        <f>IF(M9=0,"",IF(M9=1,"","mươi"))</f>
        <v>mươi</v>
      </c>
      <c r="N12" s="33"/>
    </row>
    <row r="13" spans="1:14" ht="30" customHeight="1" x14ac:dyDescent="0.25">
      <c r="A13" s="12"/>
      <c r="B13" s="28" t="str">
        <f>UPPER(LEFT(TRIM(IF(A8=0,"không đồng.",C11&amp;" "&amp;C12&amp;" "&amp;D11&amp;" "&amp;D12&amp;" "&amp;E11&amp;" "&amp;E12&amp;" "&amp;F11&amp;" "&amp;F12&amp;" "&amp;G11&amp;" "&amp;G12&amp;" "&amp;H11&amp;" "&amp;H12&amp;" "&amp;I11&amp;" "&amp;I12&amp;" "&amp;J11&amp;" "&amp;J12&amp;" "&amp;K11&amp;" "&amp;K12&amp;" "&amp;L11&amp;" "&amp;L12&amp;" "&amp;M11&amp;" "&amp;M12&amp;" "&amp;N11&amp;" "&amp;N12)),1))&amp;RIGHT(TRIM(IF(A8=0,"không đồng.",C11&amp;" "&amp;C12&amp;" "&amp;D11&amp;" "&amp;D12&amp;" "&amp;E11&amp;" "&amp;E12&amp;" "&amp;F11&amp;" "&amp;F12&amp;" "&amp;G11&amp;" "&amp;G12&amp;" "&amp;H11&amp;" "&amp;H12&amp;" "&amp;I11&amp;" "&amp;I12&amp;" "&amp;J11&amp;" "&amp;J12&amp;" "&amp;K11&amp;" "&amp;K12&amp;" "&amp;L11&amp;" "&amp;L12&amp;" "&amp;M11&amp;" "&amp;M12&amp;" "&amp;N11&amp;" "&amp;N12)),LEN(TRIM(IF(A8=0,"không.",C11&amp;" "&amp;C12&amp;" "&amp;D11&amp;" "&amp;D12&amp;" "&amp;E11&amp;" "&amp;E12&amp;" "&amp;F11&amp;" "&amp;F12&amp;" "&amp;G11&amp;" "&amp;G12&amp;" "&amp;H11&amp;" "&amp;H12&amp;" "&amp;I11&amp;" "&amp;I12&amp;" "&amp;J11&amp;" "&amp;J12&amp;" "&amp;K11&amp;" "&amp;K12&amp;" "&amp;L11&amp;" "&amp;L12&amp;" "&amp;M11&amp;" "&amp;M12&amp;" "&amp;N11&amp;" "&amp;N12)))-1)</f>
        <v>Chín trăm tám mươi bảy tỷ sáu trăm năm mươi bốn triệu một trăm hai mươi ba ngàn bốn trăm năm mươi sáu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5" spans="1:14" ht="21.95" customHeight="1" x14ac:dyDescent="0.25">
      <c r="J15" s="8"/>
    </row>
  </sheetData>
  <mergeCells count="1">
    <mergeCell ref="B9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DOISOTHANHCHU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2026-01-17T05:06:36Z</dcterms:created>
  <dcterms:modified xsi:type="dcterms:W3CDTF">2026-01-17T05:06:46Z</dcterms:modified>
  <cp:category/>
</cp:coreProperties>
</file>